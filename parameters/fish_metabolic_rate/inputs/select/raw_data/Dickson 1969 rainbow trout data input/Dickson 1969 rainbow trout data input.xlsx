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56fb4f2eb2dbcf/Documents/UCSC/data sources/FHAST Data/respiration/Steelhead or rainbow trout/Dickson 1969 rainbow trout data input/"/>
    </mc:Choice>
  </mc:AlternateContent>
  <xr:revisionPtr revIDLastSave="862" documentId="8_{EF660C30-A2D7-4650-BD19-1FD1ED80D762}" xr6:coauthVersionLast="47" xr6:coauthVersionMax="47" xr10:uidLastSave="{73EC0A92-37D8-49B5-AE03-0B93A6531F39}"/>
  <bookViews>
    <workbookView xWindow="-120" yWindow="-120" windowWidth="29040" windowHeight="15840" xr2:uid="{E3568FC5-970F-4B51-85EC-00B5569D2B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2" i="1" l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2" i="1"/>
  <c r="E3" i="1"/>
</calcChain>
</file>

<file path=xl/sharedStrings.xml><?xml version="1.0" encoding="utf-8"?>
<sst xmlns="http://schemas.openxmlformats.org/spreadsheetml/2006/main" count="239" uniqueCount="54">
  <si>
    <t>author</t>
  </si>
  <si>
    <t>year</t>
  </si>
  <si>
    <t>title</t>
  </si>
  <si>
    <t>mass_g</t>
  </si>
  <si>
    <t>sd_mass</t>
  </si>
  <si>
    <t>se_mass</t>
  </si>
  <si>
    <t>sd O2</t>
  </si>
  <si>
    <t>se O2</t>
  </si>
  <si>
    <t>fork_length_cm</t>
  </si>
  <si>
    <t>temperature_C</t>
  </si>
  <si>
    <t>species</t>
  </si>
  <si>
    <t>race</t>
  </si>
  <si>
    <t>Dickson</t>
  </si>
  <si>
    <t>sex</t>
  </si>
  <si>
    <t>n</t>
  </si>
  <si>
    <t>indiv_or_mean</t>
  </si>
  <si>
    <t>Factors influencing respiratory metabolism of rainbow trout, Salmo gairdneri</t>
  </si>
  <si>
    <t>range_mass_min</t>
  </si>
  <si>
    <t>range_mass_max</t>
  </si>
  <si>
    <t>O2_mg_kg_hour</t>
  </si>
  <si>
    <t>range_O2_max</t>
  </si>
  <si>
    <t>fork_range_min</t>
  </si>
  <si>
    <t>fork_range_max</t>
  </si>
  <si>
    <t>sd_fork</t>
  </si>
  <si>
    <t>se_fork</t>
  </si>
  <si>
    <t>range_ss_bodylengths_max</t>
  </si>
  <si>
    <t>swim_speed_bodylengths_persecond</t>
  </si>
  <si>
    <t>range_ss_bodylengths_persecond_minimum</t>
  </si>
  <si>
    <t>range_O2_minimum</t>
  </si>
  <si>
    <t>sd_swim_speed_bodylengths_persecond</t>
  </si>
  <si>
    <t>se_swim_speed_bodylengths_persecond</t>
  </si>
  <si>
    <t>mixed</t>
  </si>
  <si>
    <t>mean</t>
  </si>
  <si>
    <t>digitized_table</t>
  </si>
  <si>
    <t>metabolism_type</t>
  </si>
  <si>
    <t>active</t>
  </si>
  <si>
    <t>swimspeed_cm_persecond</t>
  </si>
  <si>
    <t>Oncorhyncus mykiss</t>
  </si>
  <si>
    <t>Rainbow trout Hull Erickson hatchery</t>
  </si>
  <si>
    <t>notes</t>
  </si>
  <si>
    <t>highlighted cells are less than .05, denoted as asterisk on the paper's tables. I just used .05 here</t>
  </si>
  <si>
    <t>range_swimspeed_cm_persecond_minimum</t>
  </si>
  <si>
    <t>range_swimspeed_cm_persecond_max</t>
  </si>
  <si>
    <t>sd_swimspeed_cm_persecond</t>
  </si>
  <si>
    <t>se_swimspeed_cm_persecond</t>
  </si>
  <si>
    <t>Rainbow trout wild from De Smet</t>
  </si>
  <si>
    <t>standard</t>
  </si>
  <si>
    <t>proportion_male</t>
  </si>
  <si>
    <t>M</t>
  </si>
  <si>
    <t>F</t>
  </si>
  <si>
    <t>life stage</t>
  </si>
  <si>
    <t>mg_O2_per_hour</t>
  </si>
  <si>
    <t>SE_mg_O2_per_hour</t>
  </si>
  <si>
    <t>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</si>
</sst>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0762-DA2E-478A-8975-08D0213516E8}">
  <dimension ref="A1:AO23"/>
  <sheetViews>
    <sheetView tabSelected="1" topLeftCell="M1" workbookViewId="0">
      <selection activeCell="AN2" sqref="AN2"/>
    </sheetView>
  </sheetViews>
  <sheetFormatPr defaultRowHeight="15" x14ac:dyDescent="0.25"/>
  <cols>
    <col min="5" max="5" width="11.85546875" bestFit="1" customWidth="1"/>
    <col min="7" max="7" width="14.140625" bestFit="1" customWidth="1"/>
    <col min="8" max="8" width="14.5703125" bestFit="1" customWidth="1"/>
    <col min="9" max="9" width="13.85546875" bestFit="1" customWidth="1"/>
    <col min="12" max="12" width="15.140625" bestFit="1" customWidth="1"/>
    <col min="13" max="13" width="15.140625" customWidth="1"/>
    <col min="16" max="16" width="8.5703125" customWidth="1"/>
    <col min="17" max="17" width="18.140625" bestFit="1" customWidth="1"/>
    <col min="18" max="18" width="13.5703125" bestFit="1" customWidth="1"/>
    <col min="19" max="19" width="14.5703125" bestFit="1" customWidth="1"/>
    <col min="22" max="22" width="13.5703125" bestFit="1" customWidth="1"/>
    <col min="23" max="24" width="13.5703125" customWidth="1"/>
    <col min="25" max="25" width="23.5703125" bestFit="1" customWidth="1"/>
    <col min="26" max="27" width="13.5703125" customWidth="1"/>
    <col min="30" max="30" width="22.5703125" bestFit="1" customWidth="1"/>
    <col min="31" max="32" width="22.5703125" customWidth="1"/>
    <col min="33" max="33" width="8.5703125" customWidth="1"/>
    <col min="36" max="36" width="13.42578125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34</v>
      </c>
      <c r="E1" t="s">
        <v>47</v>
      </c>
      <c r="F1" s="1" t="s">
        <v>14</v>
      </c>
      <c r="G1" s="1" t="s">
        <v>21</v>
      </c>
      <c r="H1" s="1" t="s">
        <v>22</v>
      </c>
      <c r="I1" s="1" t="s">
        <v>8</v>
      </c>
      <c r="J1" s="1" t="s">
        <v>23</v>
      </c>
      <c r="K1" s="1" t="s">
        <v>24</v>
      </c>
      <c r="L1" s="1" t="s">
        <v>17</v>
      </c>
      <c r="M1" s="1" t="s">
        <v>18</v>
      </c>
      <c r="N1" t="s">
        <v>3</v>
      </c>
      <c r="O1" t="s">
        <v>4</v>
      </c>
      <c r="P1" t="s">
        <v>5</v>
      </c>
      <c r="Q1" t="s">
        <v>28</v>
      </c>
      <c r="R1" t="s">
        <v>20</v>
      </c>
      <c r="S1" t="s">
        <v>19</v>
      </c>
      <c r="T1" t="s">
        <v>6</v>
      </c>
      <c r="U1" t="s">
        <v>7</v>
      </c>
      <c r="V1" t="s">
        <v>9</v>
      </c>
      <c r="W1" t="s">
        <v>41</v>
      </c>
      <c r="X1" t="s">
        <v>42</v>
      </c>
      <c r="Y1" t="s">
        <v>36</v>
      </c>
      <c r="Z1" t="s">
        <v>43</v>
      </c>
      <c r="AA1" t="s">
        <v>44</v>
      </c>
      <c r="AB1" t="s">
        <v>27</v>
      </c>
      <c r="AC1" t="s">
        <v>25</v>
      </c>
      <c r="AD1" t="s">
        <v>26</v>
      </c>
      <c r="AE1" t="s">
        <v>29</v>
      </c>
      <c r="AF1" t="s">
        <v>30</v>
      </c>
      <c r="AG1" t="s">
        <v>10</v>
      </c>
      <c r="AH1" t="s">
        <v>11</v>
      </c>
      <c r="AI1" t="s">
        <v>13</v>
      </c>
      <c r="AJ1" t="s">
        <v>15</v>
      </c>
      <c r="AK1" t="s">
        <v>33</v>
      </c>
      <c r="AL1" t="s">
        <v>39</v>
      </c>
      <c r="AM1" t="s">
        <v>50</v>
      </c>
      <c r="AN1" t="s">
        <v>51</v>
      </c>
      <c r="AO1" t="s">
        <v>52</v>
      </c>
    </row>
    <row r="2" spans="1:41" x14ac:dyDescent="0.25">
      <c r="A2" t="s">
        <v>12</v>
      </c>
      <c r="B2">
        <v>1969</v>
      </c>
      <c r="C2" t="s">
        <v>16</v>
      </c>
      <c r="D2" t="s">
        <v>35</v>
      </c>
      <c r="E2">
        <f>3/F2</f>
        <v>0.3</v>
      </c>
      <c r="F2">
        <v>10</v>
      </c>
      <c r="G2">
        <v>24.5</v>
      </c>
      <c r="H2">
        <v>28.5</v>
      </c>
      <c r="I2">
        <v>26.8</v>
      </c>
      <c r="J2">
        <v>1.4</v>
      </c>
      <c r="K2">
        <v>0.4</v>
      </c>
      <c r="L2">
        <v>190.2</v>
      </c>
      <c r="M2">
        <v>248.6</v>
      </c>
      <c r="N2">
        <v>219.4</v>
      </c>
      <c r="O2">
        <v>20.8</v>
      </c>
      <c r="P2">
        <v>6.6</v>
      </c>
      <c r="Q2">
        <v>318</v>
      </c>
      <c r="R2">
        <v>474</v>
      </c>
      <c r="S2">
        <v>384</v>
      </c>
      <c r="T2">
        <v>46</v>
      </c>
      <c r="U2">
        <v>15</v>
      </c>
      <c r="V2">
        <v>5</v>
      </c>
      <c r="Y2">
        <v>67</v>
      </c>
      <c r="AB2">
        <v>2.2999999999999998</v>
      </c>
      <c r="AC2">
        <v>2.7</v>
      </c>
      <c r="AD2">
        <v>2.5</v>
      </c>
      <c r="AE2">
        <v>0.5</v>
      </c>
      <c r="AF2">
        <v>0.2</v>
      </c>
      <c r="AG2" t="s">
        <v>37</v>
      </c>
      <c r="AH2" t="s">
        <v>38</v>
      </c>
      <c r="AI2" t="s">
        <v>31</v>
      </c>
      <c r="AJ2" t="s">
        <v>32</v>
      </c>
      <c r="AK2">
        <v>5</v>
      </c>
      <c r="AL2" t="s">
        <v>40</v>
      </c>
      <c r="AM2" t="s">
        <v>53</v>
      </c>
      <c r="AN2">
        <f>S2*(N2/1000)</f>
        <v>84.249600000000001</v>
      </c>
      <c r="AO2">
        <f>U2*(N2/1000)</f>
        <v>3.2910000000000004</v>
      </c>
    </row>
    <row r="3" spans="1:41" x14ac:dyDescent="0.25">
      <c r="A3" t="s">
        <v>12</v>
      </c>
      <c r="B3">
        <v>1969</v>
      </c>
      <c r="C3" t="s">
        <v>16</v>
      </c>
      <c r="D3" t="s">
        <v>35</v>
      </c>
      <c r="E3">
        <f>3/F3</f>
        <v>0.3</v>
      </c>
      <c r="F3">
        <v>10</v>
      </c>
      <c r="G3">
        <v>25.3</v>
      </c>
      <c r="H3">
        <v>27.5</v>
      </c>
      <c r="I3">
        <v>26.8</v>
      </c>
      <c r="J3">
        <v>0.8</v>
      </c>
      <c r="K3">
        <v>0.3</v>
      </c>
      <c r="L3">
        <v>175.1</v>
      </c>
      <c r="M3">
        <v>252.1</v>
      </c>
      <c r="N3">
        <v>214.7</v>
      </c>
      <c r="O3">
        <v>21.2</v>
      </c>
      <c r="P3">
        <v>6.7</v>
      </c>
      <c r="Q3">
        <v>420</v>
      </c>
      <c r="R3">
        <v>540</v>
      </c>
      <c r="S3">
        <v>468</v>
      </c>
      <c r="T3">
        <v>36</v>
      </c>
      <c r="U3">
        <v>11</v>
      </c>
      <c r="V3">
        <v>10</v>
      </c>
      <c r="Y3">
        <v>91</v>
      </c>
      <c r="AB3">
        <v>3.3</v>
      </c>
      <c r="AC3">
        <v>3.6</v>
      </c>
      <c r="AD3">
        <v>3.5</v>
      </c>
      <c r="AE3" s="2">
        <v>0.05</v>
      </c>
      <c r="AF3" s="2">
        <v>0.05</v>
      </c>
      <c r="AG3" t="s">
        <v>37</v>
      </c>
      <c r="AH3" t="s">
        <v>38</v>
      </c>
      <c r="AI3" t="s">
        <v>31</v>
      </c>
      <c r="AJ3" t="s">
        <v>32</v>
      </c>
      <c r="AK3">
        <v>5</v>
      </c>
      <c r="AL3" t="s">
        <v>40</v>
      </c>
      <c r="AM3" t="s">
        <v>53</v>
      </c>
      <c r="AN3">
        <f t="shared" ref="AN3:AN23" si="0">S3*(N3/1000)</f>
        <v>100.4796</v>
      </c>
      <c r="AO3">
        <f t="shared" ref="AO3:AO23" si="1">U3*(N3/1000)</f>
        <v>2.3616999999999999</v>
      </c>
    </row>
    <row r="4" spans="1:41" x14ac:dyDescent="0.25">
      <c r="A4" t="s">
        <v>12</v>
      </c>
      <c r="B4">
        <v>1969</v>
      </c>
      <c r="C4" t="s">
        <v>16</v>
      </c>
      <c r="D4" t="s">
        <v>35</v>
      </c>
      <c r="E4">
        <f>4/F4</f>
        <v>0.4</v>
      </c>
      <c r="F4">
        <v>10</v>
      </c>
      <c r="G4">
        <v>25.2</v>
      </c>
      <c r="H4">
        <v>27</v>
      </c>
      <c r="I4">
        <v>26</v>
      </c>
      <c r="J4">
        <v>0.6</v>
      </c>
      <c r="K4">
        <v>0.2</v>
      </c>
      <c r="L4">
        <v>187</v>
      </c>
      <c r="M4">
        <v>240.9</v>
      </c>
      <c r="N4">
        <v>209.6</v>
      </c>
      <c r="O4">
        <v>16.5</v>
      </c>
      <c r="P4">
        <v>5.2</v>
      </c>
      <c r="Q4">
        <v>468</v>
      </c>
      <c r="R4">
        <v>672</v>
      </c>
      <c r="S4">
        <v>576</v>
      </c>
      <c r="T4">
        <v>68</v>
      </c>
      <c r="U4">
        <v>22</v>
      </c>
      <c r="V4">
        <v>15</v>
      </c>
      <c r="Y4">
        <v>91</v>
      </c>
      <c r="AB4">
        <v>3.4</v>
      </c>
      <c r="AC4">
        <v>3.6</v>
      </c>
      <c r="AD4">
        <v>3.5</v>
      </c>
      <c r="AE4" s="2">
        <v>0.05</v>
      </c>
      <c r="AF4" s="2">
        <v>0.05</v>
      </c>
      <c r="AG4" t="s">
        <v>37</v>
      </c>
      <c r="AH4" t="s">
        <v>38</v>
      </c>
      <c r="AI4" t="s">
        <v>31</v>
      </c>
      <c r="AJ4" t="s">
        <v>32</v>
      </c>
      <c r="AK4">
        <v>5</v>
      </c>
      <c r="AL4" t="s">
        <v>40</v>
      </c>
      <c r="AM4" t="s">
        <v>53</v>
      </c>
      <c r="AN4">
        <f t="shared" si="0"/>
        <v>120.72959999999999</v>
      </c>
      <c r="AO4">
        <f t="shared" si="1"/>
        <v>4.6111999999999993</v>
      </c>
    </row>
    <row r="5" spans="1:41" x14ac:dyDescent="0.25">
      <c r="A5" t="s">
        <v>12</v>
      </c>
      <c r="B5">
        <v>1969</v>
      </c>
      <c r="C5" t="s">
        <v>16</v>
      </c>
      <c r="D5" t="s">
        <v>35</v>
      </c>
      <c r="E5">
        <f>1/F5</f>
        <v>0.1</v>
      </c>
      <c r="F5">
        <v>10</v>
      </c>
      <c r="G5">
        <v>23.7</v>
      </c>
      <c r="H5">
        <v>27.5</v>
      </c>
      <c r="I5">
        <v>25.3</v>
      </c>
      <c r="J5">
        <v>1.4</v>
      </c>
      <c r="K5">
        <v>0.4</v>
      </c>
      <c r="L5">
        <v>149.80000000000001</v>
      </c>
      <c r="M5">
        <v>239.8</v>
      </c>
      <c r="N5">
        <v>193.1</v>
      </c>
      <c r="O5">
        <v>32.700000000000003</v>
      </c>
      <c r="P5">
        <v>1.03</v>
      </c>
      <c r="Q5">
        <v>456</v>
      </c>
      <c r="R5">
        <v>732</v>
      </c>
      <c r="S5">
        <v>570</v>
      </c>
      <c r="T5">
        <v>68</v>
      </c>
      <c r="U5">
        <v>22</v>
      </c>
      <c r="V5">
        <v>20</v>
      </c>
      <c r="Y5">
        <v>91</v>
      </c>
      <c r="AB5">
        <v>3.3</v>
      </c>
      <c r="AC5">
        <v>3.8</v>
      </c>
      <c r="AD5">
        <v>3.6</v>
      </c>
      <c r="AE5">
        <v>0.2</v>
      </c>
      <c r="AF5">
        <v>0.1</v>
      </c>
      <c r="AG5" t="s">
        <v>37</v>
      </c>
      <c r="AH5" t="s">
        <v>38</v>
      </c>
      <c r="AI5" t="s">
        <v>31</v>
      </c>
      <c r="AJ5" t="s">
        <v>32</v>
      </c>
      <c r="AK5">
        <v>5</v>
      </c>
      <c r="AL5" t="s">
        <v>40</v>
      </c>
      <c r="AM5" t="s">
        <v>53</v>
      </c>
      <c r="AN5">
        <f t="shared" si="0"/>
        <v>110.06699999999999</v>
      </c>
      <c r="AO5">
        <f t="shared" si="1"/>
        <v>4.2481999999999998</v>
      </c>
    </row>
    <row r="6" spans="1:41" x14ac:dyDescent="0.25">
      <c r="A6" t="s">
        <v>12</v>
      </c>
      <c r="B6">
        <v>1969</v>
      </c>
      <c r="C6" t="s">
        <v>16</v>
      </c>
      <c r="D6" t="s">
        <v>35</v>
      </c>
      <c r="E6">
        <f>8/F6</f>
        <v>0.5714285714285714</v>
      </c>
      <c r="F6">
        <v>14</v>
      </c>
      <c r="G6">
        <v>23</v>
      </c>
      <c r="H6">
        <v>25.8</v>
      </c>
      <c r="I6">
        <v>24.7</v>
      </c>
      <c r="J6">
        <v>0.9</v>
      </c>
      <c r="K6">
        <v>0.2</v>
      </c>
      <c r="L6">
        <v>136.69999999999999</v>
      </c>
      <c r="M6">
        <v>192.6</v>
      </c>
      <c r="N6">
        <v>161.1</v>
      </c>
      <c r="O6">
        <v>16.100000000000001</v>
      </c>
      <c r="P6">
        <v>4.3</v>
      </c>
      <c r="Q6">
        <v>384</v>
      </c>
      <c r="R6">
        <v>606</v>
      </c>
      <c r="S6">
        <v>474</v>
      </c>
      <c r="T6">
        <v>67</v>
      </c>
      <c r="U6">
        <v>18</v>
      </c>
      <c r="V6">
        <v>25</v>
      </c>
      <c r="W6">
        <v>73</v>
      </c>
      <c r="X6">
        <v>91</v>
      </c>
      <c r="Y6">
        <v>79</v>
      </c>
      <c r="Z6">
        <v>15</v>
      </c>
      <c r="AA6">
        <v>3</v>
      </c>
      <c r="AB6">
        <v>2.8</v>
      </c>
      <c r="AC6">
        <v>3.8</v>
      </c>
      <c r="AD6">
        <v>3.3</v>
      </c>
      <c r="AE6">
        <v>0.3</v>
      </c>
      <c r="AF6">
        <v>0.1</v>
      </c>
      <c r="AG6" t="s">
        <v>37</v>
      </c>
      <c r="AH6" t="s">
        <v>38</v>
      </c>
      <c r="AI6" t="s">
        <v>31</v>
      </c>
      <c r="AJ6" t="s">
        <v>32</v>
      </c>
      <c r="AK6">
        <v>5</v>
      </c>
      <c r="AL6" t="s">
        <v>40</v>
      </c>
      <c r="AM6" t="s">
        <v>53</v>
      </c>
      <c r="AN6">
        <f t="shared" si="0"/>
        <v>76.361400000000003</v>
      </c>
      <c r="AO6">
        <f t="shared" si="1"/>
        <v>2.8997999999999999</v>
      </c>
    </row>
    <row r="7" spans="1:41" x14ac:dyDescent="0.25">
      <c r="A7" t="s">
        <v>12</v>
      </c>
      <c r="B7">
        <v>1969</v>
      </c>
      <c r="C7" t="s">
        <v>16</v>
      </c>
      <c r="D7" t="s">
        <v>35</v>
      </c>
      <c r="E7">
        <f>6/F7</f>
        <v>0.4</v>
      </c>
      <c r="F7">
        <v>15</v>
      </c>
      <c r="G7">
        <v>22.5</v>
      </c>
      <c r="H7">
        <v>30</v>
      </c>
      <c r="I7">
        <v>25.8</v>
      </c>
      <c r="J7">
        <v>2.2000000000000002</v>
      </c>
      <c r="K7">
        <v>0.6</v>
      </c>
      <c r="L7">
        <v>135.69999999999999</v>
      </c>
      <c r="M7">
        <v>299.5</v>
      </c>
      <c r="N7">
        <v>200.2</v>
      </c>
      <c r="O7">
        <v>53.3</v>
      </c>
      <c r="P7">
        <v>13.8</v>
      </c>
      <c r="Q7">
        <v>270</v>
      </c>
      <c r="R7">
        <v>522</v>
      </c>
      <c r="S7">
        <v>366</v>
      </c>
      <c r="T7">
        <v>62</v>
      </c>
      <c r="U7">
        <v>16</v>
      </c>
      <c r="V7">
        <v>5</v>
      </c>
      <c r="W7">
        <v>76</v>
      </c>
      <c r="X7">
        <v>104</v>
      </c>
      <c r="Y7">
        <v>91</v>
      </c>
      <c r="Z7">
        <v>9</v>
      </c>
      <c r="AA7">
        <v>3</v>
      </c>
      <c r="AB7">
        <v>2.9</v>
      </c>
      <c r="AC7">
        <v>4</v>
      </c>
      <c r="AD7">
        <v>3.5</v>
      </c>
      <c r="AE7">
        <v>0.6</v>
      </c>
      <c r="AF7">
        <v>0.2</v>
      </c>
      <c r="AG7" t="s">
        <v>37</v>
      </c>
      <c r="AH7" t="s">
        <v>45</v>
      </c>
      <c r="AI7" t="s">
        <v>31</v>
      </c>
      <c r="AJ7" t="s">
        <v>32</v>
      </c>
      <c r="AK7">
        <v>7</v>
      </c>
      <c r="AL7" t="s">
        <v>40</v>
      </c>
      <c r="AM7" t="s">
        <v>53</v>
      </c>
      <c r="AN7">
        <f t="shared" si="0"/>
        <v>73.273200000000003</v>
      </c>
      <c r="AO7">
        <f t="shared" si="1"/>
        <v>3.2031999999999998</v>
      </c>
    </row>
    <row r="8" spans="1:41" x14ac:dyDescent="0.25">
      <c r="A8" t="s">
        <v>12</v>
      </c>
      <c r="B8">
        <v>1969</v>
      </c>
      <c r="C8" t="s">
        <v>16</v>
      </c>
      <c r="D8" t="s">
        <v>35</v>
      </c>
      <c r="E8">
        <f>7/F8</f>
        <v>0.46666666666666667</v>
      </c>
      <c r="F8">
        <v>15</v>
      </c>
      <c r="G8">
        <v>22</v>
      </c>
      <c r="H8">
        <v>29.5</v>
      </c>
      <c r="I8">
        <v>25.7</v>
      </c>
      <c r="J8">
        <v>2.4</v>
      </c>
      <c r="K8">
        <v>0.6</v>
      </c>
      <c r="L8">
        <v>99.1</v>
      </c>
      <c r="M8">
        <v>397.8</v>
      </c>
      <c r="N8">
        <v>204.9</v>
      </c>
      <c r="O8">
        <v>74.099999999999994</v>
      </c>
      <c r="P8">
        <v>19.100000000000001</v>
      </c>
      <c r="Q8">
        <v>390</v>
      </c>
      <c r="R8">
        <v>636</v>
      </c>
      <c r="S8">
        <v>492</v>
      </c>
      <c r="T8">
        <v>78</v>
      </c>
      <c r="U8">
        <v>20</v>
      </c>
      <c r="V8">
        <v>10</v>
      </c>
      <c r="W8">
        <v>91</v>
      </c>
      <c r="X8">
        <v>104</v>
      </c>
      <c r="Y8">
        <v>98</v>
      </c>
      <c r="Z8">
        <v>6</v>
      </c>
      <c r="AA8">
        <v>2</v>
      </c>
      <c r="AB8">
        <v>3.2</v>
      </c>
      <c r="AC8">
        <v>4.7</v>
      </c>
      <c r="AD8">
        <v>4</v>
      </c>
      <c r="AE8">
        <v>0.4</v>
      </c>
      <c r="AF8">
        <v>0.1</v>
      </c>
      <c r="AG8" t="s">
        <v>37</v>
      </c>
      <c r="AH8" t="s">
        <v>45</v>
      </c>
      <c r="AI8" t="s">
        <v>31</v>
      </c>
      <c r="AJ8" t="s">
        <v>32</v>
      </c>
      <c r="AK8">
        <v>7</v>
      </c>
      <c r="AL8" t="s">
        <v>40</v>
      </c>
      <c r="AM8" t="s">
        <v>53</v>
      </c>
      <c r="AN8">
        <f t="shared" si="0"/>
        <v>100.8108</v>
      </c>
      <c r="AO8">
        <f t="shared" si="1"/>
        <v>4.0979999999999999</v>
      </c>
    </row>
    <row r="9" spans="1:41" x14ac:dyDescent="0.25">
      <c r="A9" t="s">
        <v>12</v>
      </c>
      <c r="B9">
        <v>1969</v>
      </c>
      <c r="C9" t="s">
        <v>16</v>
      </c>
      <c r="D9" t="s">
        <v>35</v>
      </c>
      <c r="E9">
        <f>7/F9</f>
        <v>0.7</v>
      </c>
      <c r="F9">
        <v>10</v>
      </c>
      <c r="G9">
        <v>22.2</v>
      </c>
      <c r="H9">
        <v>29.2</v>
      </c>
      <c r="I9">
        <v>24.7</v>
      </c>
      <c r="J9">
        <v>2.2999999999999998</v>
      </c>
      <c r="K9">
        <v>0.7</v>
      </c>
      <c r="L9">
        <v>105.7</v>
      </c>
      <c r="M9">
        <v>275.5</v>
      </c>
      <c r="N9">
        <v>177.7</v>
      </c>
      <c r="O9">
        <v>57.3</v>
      </c>
      <c r="P9">
        <v>18.100000000000001</v>
      </c>
      <c r="Q9">
        <v>348</v>
      </c>
      <c r="R9">
        <v>720</v>
      </c>
      <c r="S9">
        <v>552</v>
      </c>
      <c r="T9">
        <v>118</v>
      </c>
      <c r="U9">
        <v>37</v>
      </c>
      <c r="V9">
        <v>15</v>
      </c>
      <c r="Y9">
        <v>91</v>
      </c>
      <c r="AB9">
        <v>3.1</v>
      </c>
      <c r="AC9">
        <v>4.2</v>
      </c>
      <c r="AD9">
        <v>3.6</v>
      </c>
      <c r="AE9">
        <v>0.4</v>
      </c>
      <c r="AF9">
        <v>0.1</v>
      </c>
      <c r="AG9" t="s">
        <v>37</v>
      </c>
      <c r="AH9" t="s">
        <v>45</v>
      </c>
      <c r="AI9" t="s">
        <v>31</v>
      </c>
      <c r="AJ9" t="s">
        <v>32</v>
      </c>
      <c r="AK9">
        <v>7</v>
      </c>
      <c r="AL9" t="s">
        <v>40</v>
      </c>
      <c r="AM9" t="s">
        <v>53</v>
      </c>
      <c r="AN9">
        <f t="shared" si="0"/>
        <v>98.090400000000002</v>
      </c>
      <c r="AO9">
        <f t="shared" si="1"/>
        <v>6.5748999999999995</v>
      </c>
    </row>
    <row r="10" spans="1:41" x14ac:dyDescent="0.25">
      <c r="A10" t="s">
        <v>12</v>
      </c>
      <c r="B10">
        <v>1969</v>
      </c>
      <c r="C10" t="s">
        <v>16</v>
      </c>
      <c r="D10" t="s">
        <v>35</v>
      </c>
      <c r="E10">
        <f>9/F10</f>
        <v>0.6428571428571429</v>
      </c>
      <c r="F10">
        <v>14</v>
      </c>
      <c r="G10">
        <v>21.5</v>
      </c>
      <c r="H10">
        <v>29</v>
      </c>
      <c r="I10">
        <v>25.1</v>
      </c>
      <c r="J10">
        <v>2.1</v>
      </c>
      <c r="K10">
        <v>0.6</v>
      </c>
      <c r="L10">
        <v>90.5</v>
      </c>
      <c r="M10">
        <v>285</v>
      </c>
      <c r="N10">
        <v>177.8</v>
      </c>
      <c r="O10">
        <v>47.8</v>
      </c>
      <c r="P10">
        <v>12.8</v>
      </c>
      <c r="Q10">
        <v>486</v>
      </c>
      <c r="R10">
        <v>756</v>
      </c>
      <c r="S10">
        <v>592</v>
      </c>
      <c r="T10">
        <v>70</v>
      </c>
      <c r="U10">
        <v>19</v>
      </c>
      <c r="V10">
        <v>20</v>
      </c>
      <c r="W10">
        <v>91</v>
      </c>
      <c r="X10">
        <v>104</v>
      </c>
      <c r="Y10">
        <v>98</v>
      </c>
      <c r="Z10">
        <v>6</v>
      </c>
      <c r="AA10">
        <v>2</v>
      </c>
      <c r="AB10">
        <v>3.1</v>
      </c>
      <c r="AC10">
        <v>4.3</v>
      </c>
      <c r="AD10">
        <v>3.6</v>
      </c>
      <c r="AE10">
        <v>0.4</v>
      </c>
      <c r="AF10">
        <v>0.1</v>
      </c>
      <c r="AG10" t="s">
        <v>37</v>
      </c>
      <c r="AH10" t="s">
        <v>45</v>
      </c>
      <c r="AI10" t="s">
        <v>31</v>
      </c>
      <c r="AJ10" t="s">
        <v>32</v>
      </c>
      <c r="AK10">
        <v>7</v>
      </c>
      <c r="AL10" t="s">
        <v>40</v>
      </c>
      <c r="AM10" t="s">
        <v>53</v>
      </c>
      <c r="AN10">
        <f t="shared" si="0"/>
        <v>105.25760000000001</v>
      </c>
      <c r="AO10">
        <f t="shared" si="1"/>
        <v>3.3782000000000001</v>
      </c>
    </row>
    <row r="11" spans="1:41" x14ac:dyDescent="0.25">
      <c r="A11" t="s">
        <v>12</v>
      </c>
      <c r="B11">
        <v>1969</v>
      </c>
      <c r="C11" t="s">
        <v>16</v>
      </c>
      <c r="D11" t="s">
        <v>35</v>
      </c>
      <c r="E11">
        <f>4/F11</f>
        <v>0.36363636363636365</v>
      </c>
      <c r="F11">
        <v>11</v>
      </c>
      <c r="G11">
        <v>19.8</v>
      </c>
      <c r="H11">
        <v>30</v>
      </c>
      <c r="I11">
        <v>24.4</v>
      </c>
      <c r="J11">
        <v>2.7</v>
      </c>
      <c r="K11">
        <v>0.8</v>
      </c>
      <c r="L11">
        <v>78.5</v>
      </c>
      <c r="M11">
        <v>291.89999999999998</v>
      </c>
      <c r="N11">
        <v>155.6</v>
      </c>
      <c r="O11">
        <v>57.6</v>
      </c>
      <c r="P11">
        <v>17.399999999999999</v>
      </c>
      <c r="Q11">
        <v>444</v>
      </c>
      <c r="R11">
        <v>666</v>
      </c>
      <c r="S11">
        <v>588</v>
      </c>
      <c r="T11">
        <v>64</v>
      </c>
      <c r="U11">
        <v>19</v>
      </c>
      <c r="V11">
        <v>25</v>
      </c>
      <c r="Y11">
        <v>91</v>
      </c>
      <c r="AB11">
        <v>3.1</v>
      </c>
      <c r="AC11">
        <v>4.5999999999999996</v>
      </c>
      <c r="AD11">
        <v>3.9</v>
      </c>
      <c r="AE11">
        <v>0.4</v>
      </c>
      <c r="AF11">
        <v>0.1</v>
      </c>
      <c r="AG11" t="s">
        <v>37</v>
      </c>
      <c r="AH11" t="s">
        <v>45</v>
      </c>
      <c r="AI11" t="s">
        <v>31</v>
      </c>
      <c r="AJ11" t="s">
        <v>32</v>
      </c>
      <c r="AK11">
        <v>7</v>
      </c>
      <c r="AL11" t="s">
        <v>40</v>
      </c>
      <c r="AM11" t="s">
        <v>53</v>
      </c>
      <c r="AN11">
        <f t="shared" si="0"/>
        <v>91.492799999999988</v>
      </c>
      <c r="AO11">
        <f t="shared" si="1"/>
        <v>2.9563999999999999</v>
      </c>
    </row>
    <row r="12" spans="1:41" x14ac:dyDescent="0.25">
      <c r="A12" t="s">
        <v>12</v>
      </c>
      <c r="B12">
        <v>1969</v>
      </c>
      <c r="C12" t="s">
        <v>16</v>
      </c>
      <c r="D12" t="s">
        <v>46</v>
      </c>
      <c r="E12">
        <f>6/F12</f>
        <v>0.46153846153846156</v>
      </c>
      <c r="F12">
        <v>13</v>
      </c>
      <c r="G12">
        <v>24.5</v>
      </c>
      <c r="H12">
        <v>29</v>
      </c>
      <c r="I12">
        <v>26.9</v>
      </c>
      <c r="J12">
        <v>1.5</v>
      </c>
      <c r="K12">
        <v>0.4</v>
      </c>
      <c r="L12">
        <v>172.3</v>
      </c>
      <c r="M12">
        <v>264</v>
      </c>
      <c r="N12">
        <v>213.9</v>
      </c>
      <c r="O12">
        <v>25.9</v>
      </c>
      <c r="P12">
        <v>7.2</v>
      </c>
      <c r="Q12">
        <v>24</v>
      </c>
      <c r="R12">
        <v>54</v>
      </c>
      <c r="S12">
        <v>36</v>
      </c>
      <c r="T12">
        <v>9</v>
      </c>
      <c r="U12">
        <v>2</v>
      </c>
      <c r="V12">
        <v>5</v>
      </c>
      <c r="AG12" t="s">
        <v>37</v>
      </c>
      <c r="AH12" t="s">
        <v>38</v>
      </c>
      <c r="AI12" t="s">
        <v>31</v>
      </c>
      <c r="AJ12" t="s">
        <v>32</v>
      </c>
      <c r="AK12">
        <v>9</v>
      </c>
      <c r="AL12" t="s">
        <v>40</v>
      </c>
      <c r="AM12" t="s">
        <v>53</v>
      </c>
      <c r="AN12">
        <f t="shared" si="0"/>
        <v>7.7004000000000001</v>
      </c>
      <c r="AO12">
        <f t="shared" si="1"/>
        <v>0.42780000000000001</v>
      </c>
    </row>
    <row r="13" spans="1:41" x14ac:dyDescent="0.25">
      <c r="A13" t="s">
        <v>12</v>
      </c>
      <c r="B13">
        <v>1969</v>
      </c>
      <c r="C13" t="s">
        <v>16</v>
      </c>
      <c r="D13" t="s">
        <v>46</v>
      </c>
      <c r="E13">
        <f>4/F13</f>
        <v>0.5</v>
      </c>
      <c r="F13">
        <v>8</v>
      </c>
      <c r="G13">
        <v>23.5</v>
      </c>
      <c r="H13">
        <v>28</v>
      </c>
      <c r="I13">
        <v>26.1</v>
      </c>
      <c r="J13">
        <v>1.3</v>
      </c>
      <c r="K13">
        <v>0.5</v>
      </c>
      <c r="L13">
        <v>179.6</v>
      </c>
      <c r="M13">
        <v>230.7</v>
      </c>
      <c r="N13">
        <v>206.7</v>
      </c>
      <c r="O13">
        <v>16.600000000000001</v>
      </c>
      <c r="P13">
        <v>5.9</v>
      </c>
      <c r="Q13">
        <v>24</v>
      </c>
      <c r="R13">
        <v>60</v>
      </c>
      <c r="S13">
        <v>42</v>
      </c>
      <c r="T13">
        <v>14</v>
      </c>
      <c r="U13">
        <v>5</v>
      </c>
      <c r="V13">
        <v>10</v>
      </c>
      <c r="AG13" t="s">
        <v>37</v>
      </c>
      <c r="AH13" t="s">
        <v>38</v>
      </c>
      <c r="AI13" t="s">
        <v>31</v>
      </c>
      <c r="AJ13" t="s">
        <v>32</v>
      </c>
      <c r="AK13">
        <v>9</v>
      </c>
      <c r="AL13" t="s">
        <v>40</v>
      </c>
      <c r="AM13" t="s">
        <v>53</v>
      </c>
      <c r="AN13">
        <f t="shared" si="0"/>
        <v>8.6814</v>
      </c>
      <c r="AO13">
        <f t="shared" si="1"/>
        <v>1.0335000000000001</v>
      </c>
    </row>
    <row r="14" spans="1:41" x14ac:dyDescent="0.25">
      <c r="A14" t="s">
        <v>12</v>
      </c>
      <c r="B14">
        <v>1969</v>
      </c>
      <c r="C14" t="s">
        <v>16</v>
      </c>
      <c r="D14" t="s">
        <v>46</v>
      </c>
      <c r="E14">
        <f>1/F14</f>
        <v>0.1111111111111111</v>
      </c>
      <c r="F14">
        <v>9</v>
      </c>
      <c r="G14">
        <v>24</v>
      </c>
      <c r="H14">
        <v>26.7</v>
      </c>
      <c r="I14">
        <v>25.4</v>
      </c>
      <c r="J14">
        <v>1.1000000000000001</v>
      </c>
      <c r="K14">
        <v>0.4</v>
      </c>
      <c r="L14">
        <v>163</v>
      </c>
      <c r="M14">
        <v>204</v>
      </c>
      <c r="N14">
        <v>190.9</v>
      </c>
      <c r="O14">
        <v>13.1</v>
      </c>
      <c r="P14">
        <v>4.4000000000000004</v>
      </c>
      <c r="Q14">
        <v>42</v>
      </c>
      <c r="R14">
        <v>108</v>
      </c>
      <c r="S14">
        <v>78</v>
      </c>
      <c r="T14">
        <v>17</v>
      </c>
      <c r="U14">
        <v>6</v>
      </c>
      <c r="V14">
        <v>15</v>
      </c>
      <c r="AG14" t="s">
        <v>37</v>
      </c>
      <c r="AH14" t="s">
        <v>38</v>
      </c>
      <c r="AI14" t="s">
        <v>31</v>
      </c>
      <c r="AJ14" t="s">
        <v>32</v>
      </c>
      <c r="AK14">
        <v>9</v>
      </c>
      <c r="AL14" t="s">
        <v>40</v>
      </c>
      <c r="AM14" t="s">
        <v>53</v>
      </c>
      <c r="AN14">
        <f t="shared" si="0"/>
        <v>14.890200000000002</v>
      </c>
      <c r="AO14">
        <f t="shared" si="1"/>
        <v>1.1454</v>
      </c>
    </row>
    <row r="15" spans="1:41" x14ac:dyDescent="0.25">
      <c r="A15" t="s">
        <v>12</v>
      </c>
      <c r="B15">
        <v>1969</v>
      </c>
      <c r="C15" t="s">
        <v>16</v>
      </c>
      <c r="D15" t="s">
        <v>46</v>
      </c>
      <c r="E15">
        <f>1/F15</f>
        <v>0.1</v>
      </c>
      <c r="F15">
        <v>10</v>
      </c>
      <c r="G15">
        <v>24</v>
      </c>
      <c r="H15">
        <v>27</v>
      </c>
      <c r="I15">
        <v>26</v>
      </c>
      <c r="J15">
        <v>0.8</v>
      </c>
      <c r="K15">
        <v>0.3</v>
      </c>
      <c r="L15">
        <v>183.2</v>
      </c>
      <c r="M15">
        <v>220.9</v>
      </c>
      <c r="N15">
        <v>200.2</v>
      </c>
      <c r="O15">
        <v>13.6</v>
      </c>
      <c r="P15">
        <v>4.3</v>
      </c>
      <c r="Q15">
        <v>48</v>
      </c>
      <c r="R15">
        <v>120</v>
      </c>
      <c r="S15">
        <v>84</v>
      </c>
      <c r="T15">
        <v>21</v>
      </c>
      <c r="U15">
        <v>7</v>
      </c>
      <c r="V15">
        <v>20</v>
      </c>
      <c r="AG15" t="s">
        <v>37</v>
      </c>
      <c r="AH15" t="s">
        <v>38</v>
      </c>
      <c r="AI15" t="s">
        <v>31</v>
      </c>
      <c r="AJ15" t="s">
        <v>32</v>
      </c>
      <c r="AK15">
        <v>9</v>
      </c>
      <c r="AL15" t="s">
        <v>40</v>
      </c>
      <c r="AM15" t="s">
        <v>53</v>
      </c>
      <c r="AN15">
        <f t="shared" si="0"/>
        <v>16.816800000000001</v>
      </c>
      <c r="AO15">
        <f t="shared" si="1"/>
        <v>1.4014</v>
      </c>
    </row>
    <row r="16" spans="1:41" x14ac:dyDescent="0.25">
      <c r="A16" t="s">
        <v>12</v>
      </c>
      <c r="B16">
        <v>1969</v>
      </c>
      <c r="C16" t="s">
        <v>16</v>
      </c>
      <c r="D16" t="s">
        <v>46</v>
      </c>
      <c r="E16">
        <f>2/F16</f>
        <v>0.25</v>
      </c>
      <c r="F16">
        <v>8</v>
      </c>
      <c r="G16">
        <v>23.8</v>
      </c>
      <c r="H16">
        <v>25.5</v>
      </c>
      <c r="I16">
        <v>24.7</v>
      </c>
      <c r="J16">
        <v>0.5</v>
      </c>
      <c r="K16">
        <v>0.2</v>
      </c>
      <c r="L16">
        <v>147.6</v>
      </c>
      <c r="M16">
        <v>177.9</v>
      </c>
      <c r="N16">
        <v>158.6</v>
      </c>
      <c r="O16">
        <v>9.1999999999999993</v>
      </c>
      <c r="P16">
        <v>3.3</v>
      </c>
      <c r="Q16">
        <v>96</v>
      </c>
      <c r="R16">
        <v>192</v>
      </c>
      <c r="S16">
        <v>138</v>
      </c>
      <c r="T16">
        <v>33</v>
      </c>
      <c r="U16">
        <v>12</v>
      </c>
      <c r="V16">
        <v>25</v>
      </c>
      <c r="AG16" t="s">
        <v>37</v>
      </c>
      <c r="AH16" t="s">
        <v>38</v>
      </c>
      <c r="AI16" t="s">
        <v>31</v>
      </c>
      <c r="AJ16" t="s">
        <v>32</v>
      </c>
      <c r="AK16">
        <v>9</v>
      </c>
      <c r="AL16" t="s">
        <v>40</v>
      </c>
      <c r="AM16" t="s">
        <v>53</v>
      </c>
      <c r="AN16">
        <f t="shared" si="0"/>
        <v>21.886799999999997</v>
      </c>
      <c r="AO16">
        <f t="shared" si="1"/>
        <v>1.9032</v>
      </c>
    </row>
    <row r="17" spans="1:41" x14ac:dyDescent="0.25">
      <c r="A17" t="s">
        <v>12</v>
      </c>
      <c r="B17">
        <v>1969</v>
      </c>
      <c r="C17" t="s">
        <v>16</v>
      </c>
      <c r="D17" t="s">
        <v>46</v>
      </c>
      <c r="E17">
        <f>2/F17</f>
        <v>0.18181818181818182</v>
      </c>
      <c r="F17">
        <v>11</v>
      </c>
      <c r="G17">
        <v>24</v>
      </c>
      <c r="H17">
        <v>30</v>
      </c>
      <c r="I17">
        <v>27.2</v>
      </c>
      <c r="J17">
        <v>1.7</v>
      </c>
      <c r="K17">
        <v>0.5</v>
      </c>
      <c r="L17">
        <v>163</v>
      </c>
      <c r="M17">
        <v>328.6</v>
      </c>
      <c r="N17">
        <v>225.9</v>
      </c>
      <c r="O17">
        <v>50.1</v>
      </c>
      <c r="P17">
        <v>15.1</v>
      </c>
      <c r="Q17">
        <v>30</v>
      </c>
      <c r="R17">
        <v>48</v>
      </c>
      <c r="S17">
        <v>42</v>
      </c>
      <c r="T17">
        <v>6</v>
      </c>
      <c r="U17">
        <v>2</v>
      </c>
      <c r="V17">
        <v>5</v>
      </c>
      <c r="AG17" t="s">
        <v>37</v>
      </c>
      <c r="AH17" t="s">
        <v>45</v>
      </c>
      <c r="AI17" t="s">
        <v>31</v>
      </c>
      <c r="AJ17" t="s">
        <v>32</v>
      </c>
      <c r="AK17">
        <v>11</v>
      </c>
      <c r="AL17" t="s">
        <v>40</v>
      </c>
      <c r="AM17" t="s">
        <v>53</v>
      </c>
      <c r="AN17">
        <f t="shared" si="0"/>
        <v>9.4878</v>
      </c>
      <c r="AO17">
        <f t="shared" si="1"/>
        <v>0.45180000000000003</v>
      </c>
    </row>
    <row r="18" spans="1:41" x14ac:dyDescent="0.25">
      <c r="A18" t="s">
        <v>12</v>
      </c>
      <c r="B18">
        <v>1969</v>
      </c>
      <c r="C18" t="s">
        <v>16</v>
      </c>
      <c r="D18" t="s">
        <v>46</v>
      </c>
      <c r="E18">
        <f>5/F18</f>
        <v>0.5</v>
      </c>
      <c r="F18">
        <v>10</v>
      </c>
      <c r="G18">
        <v>22.8</v>
      </c>
      <c r="H18">
        <v>31</v>
      </c>
      <c r="I18">
        <v>26.7</v>
      </c>
      <c r="J18">
        <v>2.5</v>
      </c>
      <c r="K18">
        <v>0.9</v>
      </c>
      <c r="L18">
        <v>135</v>
      </c>
      <c r="M18">
        <v>395.7</v>
      </c>
      <c r="N18">
        <v>235.4</v>
      </c>
      <c r="O18">
        <v>75.3</v>
      </c>
      <c r="P18">
        <v>23.8</v>
      </c>
      <c r="Q18">
        <v>42</v>
      </c>
      <c r="R18">
        <v>87</v>
      </c>
      <c r="S18">
        <v>54</v>
      </c>
      <c r="T18">
        <v>12</v>
      </c>
      <c r="U18">
        <v>4</v>
      </c>
      <c r="V18">
        <v>10</v>
      </c>
      <c r="AG18" t="s">
        <v>37</v>
      </c>
      <c r="AH18" t="s">
        <v>45</v>
      </c>
      <c r="AI18" t="s">
        <v>31</v>
      </c>
      <c r="AJ18" t="s">
        <v>32</v>
      </c>
      <c r="AK18">
        <v>11</v>
      </c>
      <c r="AL18" t="s">
        <v>40</v>
      </c>
      <c r="AM18" t="s">
        <v>53</v>
      </c>
      <c r="AN18">
        <f t="shared" si="0"/>
        <v>12.711600000000001</v>
      </c>
      <c r="AO18">
        <f t="shared" si="1"/>
        <v>0.94159999999999999</v>
      </c>
    </row>
    <row r="19" spans="1:41" x14ac:dyDescent="0.25">
      <c r="A19" t="s">
        <v>12</v>
      </c>
      <c r="B19">
        <v>1969</v>
      </c>
      <c r="C19" t="s">
        <v>16</v>
      </c>
      <c r="D19" t="s">
        <v>46</v>
      </c>
      <c r="E19">
        <f>4/F19</f>
        <v>0.36363636363636365</v>
      </c>
      <c r="F19">
        <v>11</v>
      </c>
      <c r="G19">
        <v>22.5</v>
      </c>
      <c r="H19">
        <v>31.8</v>
      </c>
      <c r="I19">
        <v>27.1</v>
      </c>
      <c r="J19">
        <v>2.7</v>
      </c>
      <c r="K19">
        <v>0.8</v>
      </c>
      <c r="L19">
        <v>132.5</v>
      </c>
      <c r="M19">
        <v>375.9</v>
      </c>
      <c r="N19">
        <v>225.7</v>
      </c>
      <c r="O19">
        <v>70.099999999999994</v>
      </c>
      <c r="P19">
        <v>21.1</v>
      </c>
      <c r="Q19">
        <v>24</v>
      </c>
      <c r="R19">
        <v>84</v>
      </c>
      <c r="S19">
        <v>60</v>
      </c>
      <c r="T19">
        <v>18</v>
      </c>
      <c r="U19">
        <v>5</v>
      </c>
      <c r="V19">
        <v>15</v>
      </c>
      <c r="AG19" t="s">
        <v>37</v>
      </c>
      <c r="AH19" t="s">
        <v>45</v>
      </c>
      <c r="AI19" t="s">
        <v>31</v>
      </c>
      <c r="AJ19" t="s">
        <v>32</v>
      </c>
      <c r="AK19">
        <v>11</v>
      </c>
      <c r="AL19" t="s">
        <v>40</v>
      </c>
      <c r="AM19" t="s">
        <v>53</v>
      </c>
      <c r="AN19">
        <f t="shared" si="0"/>
        <v>13.542</v>
      </c>
      <c r="AO19">
        <f t="shared" si="1"/>
        <v>1.1284999999999998</v>
      </c>
    </row>
    <row r="20" spans="1:41" x14ac:dyDescent="0.25">
      <c r="A20" t="s">
        <v>12</v>
      </c>
      <c r="B20">
        <v>1969</v>
      </c>
      <c r="C20" t="s">
        <v>16</v>
      </c>
      <c r="D20" t="s">
        <v>46</v>
      </c>
      <c r="E20">
        <f>4/F20</f>
        <v>0.33333333333333331</v>
      </c>
      <c r="F20">
        <v>12</v>
      </c>
      <c r="G20">
        <v>21.5</v>
      </c>
      <c r="H20">
        <v>27</v>
      </c>
      <c r="I20">
        <v>24.8</v>
      </c>
      <c r="J20">
        <v>1.8</v>
      </c>
      <c r="K20">
        <v>0.5</v>
      </c>
      <c r="L20">
        <v>114.8</v>
      </c>
      <c r="M20">
        <v>228.7</v>
      </c>
      <c r="N20">
        <v>172.3</v>
      </c>
      <c r="O20">
        <v>36.9</v>
      </c>
      <c r="P20">
        <v>10.7</v>
      </c>
      <c r="Q20">
        <v>54</v>
      </c>
      <c r="R20">
        <v>156</v>
      </c>
      <c r="S20">
        <v>94</v>
      </c>
      <c r="T20">
        <v>33</v>
      </c>
      <c r="U20">
        <v>10</v>
      </c>
      <c r="V20">
        <v>20</v>
      </c>
      <c r="AG20" t="s">
        <v>37</v>
      </c>
      <c r="AH20" t="s">
        <v>45</v>
      </c>
      <c r="AI20" t="s">
        <v>31</v>
      </c>
      <c r="AJ20" t="s">
        <v>32</v>
      </c>
      <c r="AK20">
        <v>11</v>
      </c>
      <c r="AL20" t="s">
        <v>40</v>
      </c>
      <c r="AM20" t="s">
        <v>53</v>
      </c>
      <c r="AN20">
        <f t="shared" si="0"/>
        <v>16.196200000000001</v>
      </c>
      <c r="AO20">
        <f t="shared" si="1"/>
        <v>1.7230000000000001</v>
      </c>
    </row>
    <row r="21" spans="1:41" x14ac:dyDescent="0.25">
      <c r="A21" t="s">
        <v>12</v>
      </c>
      <c r="B21">
        <v>1969</v>
      </c>
      <c r="C21" t="s">
        <v>16</v>
      </c>
      <c r="D21" t="s">
        <v>46</v>
      </c>
      <c r="E21">
        <f>4/F21</f>
        <v>0.36363636363636365</v>
      </c>
      <c r="F21">
        <v>11</v>
      </c>
      <c r="G21">
        <v>20.8</v>
      </c>
      <c r="H21">
        <v>26.5</v>
      </c>
      <c r="I21">
        <v>24.6</v>
      </c>
      <c r="J21">
        <v>1.8</v>
      </c>
      <c r="K21">
        <v>0.5</v>
      </c>
      <c r="L21">
        <v>85.2</v>
      </c>
      <c r="M21">
        <v>188</v>
      </c>
      <c r="N21">
        <v>148.1</v>
      </c>
      <c r="O21">
        <v>33.5</v>
      </c>
      <c r="P21">
        <v>10.1</v>
      </c>
      <c r="Q21">
        <v>48</v>
      </c>
      <c r="R21">
        <v>222</v>
      </c>
      <c r="S21">
        <v>120</v>
      </c>
      <c r="T21">
        <v>60</v>
      </c>
      <c r="U21">
        <v>18</v>
      </c>
      <c r="V21">
        <v>25</v>
      </c>
      <c r="AG21" t="s">
        <v>37</v>
      </c>
      <c r="AH21" t="s">
        <v>45</v>
      </c>
      <c r="AI21" t="s">
        <v>31</v>
      </c>
      <c r="AJ21" t="s">
        <v>32</v>
      </c>
      <c r="AK21">
        <v>11</v>
      </c>
      <c r="AL21" t="s">
        <v>40</v>
      </c>
      <c r="AM21" t="s">
        <v>53</v>
      </c>
      <c r="AN21">
        <f t="shared" si="0"/>
        <v>17.771999999999998</v>
      </c>
      <c r="AO21">
        <f t="shared" si="1"/>
        <v>2.6657999999999995</v>
      </c>
    </row>
    <row r="22" spans="1:41" x14ac:dyDescent="0.25">
      <c r="A22" t="s">
        <v>12</v>
      </c>
      <c r="B22">
        <v>1969</v>
      </c>
      <c r="C22" t="s">
        <v>16</v>
      </c>
      <c r="D22" t="s">
        <v>35</v>
      </c>
      <c r="E22">
        <v>1</v>
      </c>
      <c r="F22">
        <v>23</v>
      </c>
      <c r="G22">
        <v>21</v>
      </c>
      <c r="H22">
        <v>28.8</v>
      </c>
      <c r="I22">
        <v>25.1</v>
      </c>
      <c r="J22">
        <v>2.4</v>
      </c>
      <c r="K22">
        <v>0.5</v>
      </c>
      <c r="L22">
        <v>105.6</v>
      </c>
      <c r="M22">
        <v>321.2</v>
      </c>
      <c r="N22">
        <v>213.9</v>
      </c>
      <c r="O22">
        <v>66.400000000000006</v>
      </c>
      <c r="P22">
        <v>13.8</v>
      </c>
      <c r="Q22">
        <v>336</v>
      </c>
      <c r="R22">
        <v>606</v>
      </c>
      <c r="S22">
        <v>462</v>
      </c>
      <c r="T22">
        <v>72</v>
      </c>
      <c r="U22">
        <v>15</v>
      </c>
      <c r="V22">
        <v>10</v>
      </c>
      <c r="Y22">
        <v>91</v>
      </c>
      <c r="AB22">
        <v>3.1</v>
      </c>
      <c r="AC22">
        <v>4.4000000000000004</v>
      </c>
      <c r="AD22">
        <v>3.7</v>
      </c>
      <c r="AE22">
        <v>0.4</v>
      </c>
      <c r="AF22">
        <v>0.1</v>
      </c>
      <c r="AG22" t="s">
        <v>37</v>
      </c>
      <c r="AH22" t="s">
        <v>38</v>
      </c>
      <c r="AI22" t="s">
        <v>48</v>
      </c>
      <c r="AJ22" t="s">
        <v>32</v>
      </c>
      <c r="AK22">
        <v>23</v>
      </c>
      <c r="AL22" t="s">
        <v>40</v>
      </c>
      <c r="AM22" t="s">
        <v>53</v>
      </c>
      <c r="AN22">
        <f t="shared" si="0"/>
        <v>98.821799999999996</v>
      </c>
      <c r="AO22">
        <f t="shared" si="1"/>
        <v>3.2084999999999999</v>
      </c>
    </row>
    <row r="23" spans="1:41" x14ac:dyDescent="0.25">
      <c r="A23" t="s">
        <v>12</v>
      </c>
      <c r="B23">
        <v>1969</v>
      </c>
      <c r="C23" t="s">
        <v>16</v>
      </c>
      <c r="D23" t="s">
        <v>35</v>
      </c>
      <c r="E23">
        <v>0</v>
      </c>
      <c r="F23">
        <v>14</v>
      </c>
      <c r="G23">
        <v>23</v>
      </c>
      <c r="H23">
        <v>29.7</v>
      </c>
      <c r="I23">
        <v>26.4</v>
      </c>
      <c r="J23">
        <v>2.2999999999999998</v>
      </c>
      <c r="K23">
        <v>0.6</v>
      </c>
      <c r="L23">
        <v>143</v>
      </c>
      <c r="M23">
        <v>353</v>
      </c>
      <c r="N23">
        <v>234.2</v>
      </c>
      <c r="O23">
        <v>66.3</v>
      </c>
      <c r="P23">
        <v>17.7</v>
      </c>
      <c r="Q23">
        <v>300</v>
      </c>
      <c r="R23">
        <v>510</v>
      </c>
      <c r="S23">
        <v>408</v>
      </c>
      <c r="T23">
        <v>66</v>
      </c>
      <c r="U23">
        <v>18</v>
      </c>
      <c r="V23">
        <v>10</v>
      </c>
      <c r="Y23">
        <v>91</v>
      </c>
      <c r="AB23">
        <v>3.1</v>
      </c>
      <c r="AC23">
        <v>4</v>
      </c>
      <c r="AD23">
        <v>3.5</v>
      </c>
      <c r="AE23">
        <v>0.3</v>
      </c>
      <c r="AF23">
        <v>0.1</v>
      </c>
      <c r="AG23" t="s">
        <v>37</v>
      </c>
      <c r="AH23" t="s">
        <v>38</v>
      </c>
      <c r="AI23" t="s">
        <v>49</v>
      </c>
      <c r="AJ23" t="s">
        <v>32</v>
      </c>
      <c r="AK23">
        <v>23</v>
      </c>
      <c r="AL23" t="s">
        <v>40</v>
      </c>
      <c r="AM23" t="s">
        <v>53</v>
      </c>
      <c r="AN23">
        <f t="shared" si="0"/>
        <v>95.553600000000003</v>
      </c>
      <c r="AO23">
        <f t="shared" si="1"/>
        <v>4.2156000000000002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</dc:creator>
  <cp:lastModifiedBy>Jesse Black</cp:lastModifiedBy>
  <dcterms:created xsi:type="dcterms:W3CDTF">2021-07-27T17:49:21Z</dcterms:created>
  <dcterms:modified xsi:type="dcterms:W3CDTF">2021-08-10T23:07:13Z</dcterms:modified>
</cp:coreProperties>
</file>